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ath\Desktop\"/>
    </mc:Choice>
  </mc:AlternateContent>
  <xr:revisionPtr revIDLastSave="0" documentId="13_ncr:20001_{3610EDD9-C6EE-4F8A-AB2C-CED15B9151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 Report" sheetId="1" r:id="rId1"/>
    <sheet name="Summary" sheetId="2" r:id="rId2"/>
  </sheets>
  <definedNames>
    <definedName name="_xlnm._FilterDatabase" localSheetId="0" hidden="1">'Bug Report'!$A$3:$O$203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E7" i="2"/>
  <c r="B7" i="2"/>
  <c r="E6" i="2"/>
  <c r="B6" i="2"/>
  <c r="E5" i="2"/>
  <c r="B5" i="2"/>
  <c r="E4" i="2"/>
  <c r="B4" i="2"/>
  <c r="B3" i="2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</calcChain>
</file>

<file path=xl/sharedStrings.xml><?xml version="1.0" encoding="utf-8"?>
<sst xmlns="http://schemas.openxmlformats.org/spreadsheetml/2006/main" count="264" uniqueCount="150">
  <si>
    <t>Website Bug Report</t>
  </si>
  <si>
    <t>Bug ID</t>
  </si>
  <si>
    <t>Date Reported</t>
  </si>
  <si>
    <t>Reporter</t>
  </si>
  <si>
    <t>Page / URL</t>
  </si>
  <si>
    <t>Area / Feature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</si>
  <si>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</si>
  <si>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</si>
  <si>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</si>
  <si>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</si>
  <si>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</si>
  <si>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</si>
  <si>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</si>
  <si>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</si>
  <si>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Browser / Device</t>
  </si>
  <si>
    <t>Evidence / Screenshot Link</t>
  </si>
  <si>
    <t>BUG-001</t>
  </si>
  <si>
    <t>Your Name</t>
  </si>
  <si>
    <t>https://example.com/checkout</t>
  </si>
  <si>
    <t>Checkout</t>
  </si>
  <si>
    <t>Checkout button does not respond</t>
  </si>
  <si>
    <t>Clicking the checkout button does not continue to the payment step.</t>
  </si>
  <si>
    <t>1. Open cart
2. Add an item
3. Click Checkout</t>
  </si>
  <si>
    <t>User should proceed to the payment page.</t>
  </si>
  <si>
    <t>Nothing happens after clicking Checkout.</t>
  </si>
  <si>
    <t>High</t>
  </si>
  <si>
    <t>Open</t>
  </si>
  <si>
    <t>Chrome 127 / Windows 11</t>
  </si>
  <si>
    <t>Bug Report Summary</t>
  </si>
  <si>
    <t>Total Bugs</t>
  </si>
  <si>
    <t>Count</t>
  </si>
  <si>
    <t>Critical</t>
  </si>
  <si>
    <t>In Progress</t>
  </si>
  <si>
    <t>Blocked</t>
  </si>
  <si>
    <t>Medium</t>
  </si>
  <si>
    <t>Closed</t>
  </si>
  <si>
    <t>Low</t>
  </si>
  <si>
    <t>Zonda Attila</t>
  </si>
  <si>
    <t>https://cm.getmytestdomain.com/</t>
  </si>
  <si>
    <t>Register now Button missing from "FIRST TIME PACKAGE"</t>
  </si>
  <si>
    <t>No interractable button on the First time package "register now"</t>
  </si>
  <si>
    <t>1.Open Link
2. Scroll down to Subscriptions area</t>
  </si>
  <si>
    <t xml:space="preserve">User should have a button inside the first  package card which says REGISTER NOW </t>
  </si>
  <si>
    <t>BUG-002</t>
  </si>
  <si>
    <t>Missing Register NOW button</t>
  </si>
  <si>
    <t>BUG-003</t>
  </si>
  <si>
    <t xml:space="preserve">Missing Shrink Animation Register now button </t>
  </si>
  <si>
    <t xml:space="preserve">1.Open Link
2. Scroll down to Subscriptions area
3.Hower with mouse cursor over the REGISTER NOW button </t>
  </si>
  <si>
    <t>Nothing happens if you hover over the REGISTER NOW button inside STARTER PAKCAGE CARD</t>
  </si>
  <si>
    <t>The user should have the experience of the shrink animation like on the rest of the Register now buttons</t>
  </si>
  <si>
    <t>BUG-004</t>
  </si>
  <si>
    <t>Text and background almos has same colors</t>
  </si>
  <si>
    <t>Starter package card has a button REGISTER NOW which does not follow the same animation like the other two cards does</t>
  </si>
  <si>
    <t>FIRST TIME PACKAGE , POWER PACKAGE, MASTER PAKCAGE: text color style="color: rgb(227, 226, 226);"
background: rgb(255, 255, 255) The two colors almost identical</t>
  </si>
  <si>
    <t>The user should have a clean and easily readable text</t>
  </si>
  <si>
    <t>The text is blurry not visible enough hard to distinguish for the human eye</t>
  </si>
  <si>
    <t>1.Open Link
2. Scroll down to Subscriptions area
3.Check the text and backgrond color inside Dev tool</t>
  </si>
  <si>
    <t>BUG-005</t>
  </si>
  <si>
    <t>https://imgur.com/a/mqyg6eu</t>
  </si>
  <si>
    <t>https://imgur.com/6BqxBEo</t>
  </si>
  <si>
    <t>WE RECOMMEND TEXT POSITION</t>
  </si>
  <si>
    <t>The text WE RECOMMEND  is slightly inside the video Banner</t>
  </si>
  <si>
    <t>1.Open Link
2. Scroll down to Video Courses
3. Check the text "WE RECOMMEND"</t>
  </si>
  <si>
    <t>The text is cut halfway through horizontally</t>
  </si>
  <si>
    <t>https://imgur.com/zzDCMDS</t>
  </si>
  <si>
    <t>BUG-006</t>
  </si>
  <si>
    <t>VIDEO BANNER MISSING THUMBNAILS AND BORDER</t>
  </si>
  <si>
    <t>Video banner has missing Thumbnails and borders everything falls into one shape</t>
  </si>
  <si>
    <t>1.Open Link
2. Scroll down to Video Courses
3. Check the video banner</t>
  </si>
  <si>
    <t>The user should have a clean experience accesing the videos 1 by 1 and a thumbnail preview</t>
  </si>
  <si>
    <t>The videos are hard to be distinguished and dificult interacting with them</t>
  </si>
  <si>
    <t>https://imgur.com/hjHIK93</t>
  </si>
  <si>
    <t>BUG-007</t>
  </si>
  <si>
    <t>404 |Not Found</t>
  </si>
  <si>
    <t xml:space="preserve">Interecting with each card inside Article sections pops an error 404 </t>
  </si>
  <si>
    <t xml:space="preserve">1.Open Link
2. Scroll down Articles
3. Interact with each card </t>
  </si>
  <si>
    <t>The user should be redirected based on their choice to the right article</t>
  </si>
  <si>
    <t>https://imgur.com/Q0sjfdA</t>
  </si>
  <si>
    <t>BUG-008</t>
  </si>
  <si>
    <t xml:space="preserve">Interacting with the article "TOP 10 BEGINNER TIPS FOR THE BEST RESULTS" Redirects the user to the Login page
</t>
  </si>
  <si>
    <t>1.Open Link
2. Scroll down Articles
3. Interact with article TOP 10 BEGINNER TIPS FOR THE BEST RESULTS</t>
  </si>
  <si>
    <t>The user should be redirected to the right article</t>
  </si>
  <si>
    <t>clicking on any of the articles user ends up with an error "404 |Not Found"</t>
  </si>
  <si>
    <t>User ends up on the login page</t>
  </si>
  <si>
    <t>https://imgur.com/2FOy18W</t>
  </si>
  <si>
    <t>BUG-009</t>
  </si>
  <si>
    <t>1.Open Link
2.Click on Sign Up
3. Under Personal Information click Email field and start typing text</t>
  </si>
  <si>
    <t>The user should be allowed to type in their email address</t>
  </si>
  <si>
    <t>Email input field restricted to numeric values only</t>
  </si>
  <si>
    <t>The Email field accepts only numeric/integer characters. Users are unable to enter letters or a valid email address format such as name@example.com</t>
  </si>
  <si>
    <t>Urgent</t>
  </si>
  <si>
    <t>BUG-010</t>
  </si>
  <si>
    <t>Wrong article redirect</t>
  </si>
  <si>
    <t>Re-enter password missing</t>
  </si>
  <si>
    <t xml:space="preserve">There is no field upon registration which ask the user to repeat the password </t>
  </si>
  <si>
    <t>1.Open Link
2.Click on Sign Up
3. Under Personal Information missing field "repeat password"</t>
  </si>
  <si>
    <t xml:space="preserve">The user should have a field to repeat the password upon registration because it reduces the chance of misspelling  </t>
  </si>
  <si>
    <t>The User might enter the password worng or with extra characters and the sistem gives no warning of the missmatch</t>
  </si>
  <si>
    <t>BUG-011</t>
  </si>
  <si>
    <t>Cardholder Name field incorrectly accepts numeric/integer input</t>
  </si>
  <si>
    <t>Cardholder Name field accepts numeric characters instead of restricting input to valid name text.</t>
  </si>
  <si>
    <t>1.Open Link
2.Click on Sign Up
3.Under payment methods interact with card holder name field input int</t>
  </si>
  <si>
    <t xml:space="preserve">The user should not be allowed to type in numeric values </t>
  </si>
  <si>
    <t>The Cardholder Name field accepts numeric values, allowing entries such as 12345</t>
  </si>
  <si>
    <t>Email field incorrectly accepts only integer/numeric input instead of text/alphanumeric format therefore blocks the registration process</t>
  </si>
  <si>
    <t>SIGN UP / Personal information</t>
  </si>
  <si>
    <t>SIGN UP / Payment Methods</t>
  </si>
  <si>
    <t xml:space="preserve">Front page /Subscriptions </t>
  </si>
  <si>
    <t>Front page / Video Courses</t>
  </si>
  <si>
    <t>Front Page / Articles</t>
  </si>
  <si>
    <t>BUG-012</t>
  </si>
  <si>
    <t>Card expiration shows 3 months total</t>
  </si>
  <si>
    <t>The drop down shows only 3 months total</t>
  </si>
  <si>
    <t>1.Open Link
2.Click on Sign Up
3.Under payment methods interact with box Month click on dropdown</t>
  </si>
  <si>
    <t>The user should be able to pick 1 out of 12 months total</t>
  </si>
  <si>
    <t>Only 01, 02, 03 can be picked</t>
  </si>
  <si>
    <t>BUG-013</t>
  </si>
  <si>
    <t xml:space="preserve">The drop down shows up to 2023 only </t>
  </si>
  <si>
    <t>1.Open Link
2.Click on Sign Up
3.Under payment methods interact with box Year click on dropdown</t>
  </si>
  <si>
    <t>The user should be able to pick years up to 2030 at least since we are in 2026</t>
  </si>
  <si>
    <t>Maximum year available is 2023</t>
  </si>
  <si>
    <t>Card year shows up to 2023</t>
  </si>
  <si>
    <t xml:space="preserve">CVV is not limited to 3 or 4 digits </t>
  </si>
  <si>
    <t>Input field card security code digits are not limited to 3 or 4 digits only a warning message which says "CVV should be 3 or 4 digits"</t>
  </si>
  <si>
    <t>1.Open Link
2.Click on Sign Up
3.Under payment methods interact with box CVV
4.Type in more then 4 digits</t>
  </si>
  <si>
    <t>The user should not be allowed to enter more then 3 / 4 digits total</t>
  </si>
  <si>
    <t>The user should be limited to 3 4 digits maximum</t>
  </si>
  <si>
    <t>BUG-014</t>
  </si>
  <si>
    <t>SIGN UP / Choose subscription plan</t>
  </si>
  <si>
    <t>https://imgur.com/oJdR7Px</t>
  </si>
  <si>
    <t>https://imgur.com/VmE7Rfd</t>
  </si>
  <si>
    <t>https://imgur.com/xuD9KeY</t>
  </si>
  <si>
    <t>incorrect Text of "This membership fee permits one weak of access to the full website of testtitle.com"</t>
  </si>
  <si>
    <t>The text should change based on the supbscription plan selected</t>
  </si>
  <si>
    <t>1.Open Link
2.Click on Sign Up
3.Under text Sign up for access to website
4.Click on each plan individualy</t>
  </si>
  <si>
    <t>The user should see the correct txt based on their choice of subscription</t>
  </si>
  <si>
    <t>https://imgur.com/EfWBGSB</t>
  </si>
  <si>
    <t>BUG-015</t>
  </si>
  <si>
    <t>SIGN UP / Payment Information Banner</t>
  </si>
  <si>
    <t>text color style="color: rgb(227, 226, 226);"
background: rgb(255, 255, 255) The two colors almost identical</t>
  </si>
  <si>
    <t>1.Open Link
2.Click on Sign Up
3.Check the information banner under the Signup section</t>
  </si>
  <si>
    <t xml:space="preserve">The text does not change </t>
  </si>
  <si>
    <t>https://imgur.com/h3UzUVe</t>
  </si>
  <si>
    <t>BUG-016</t>
  </si>
  <si>
    <t>Front page / Navigation bar</t>
  </si>
  <si>
    <t>Navigation menu links incorrectly redirect to the homepage</t>
  </si>
  <si>
    <t>Clicking navigation items such as Video Courses, Articles, or Contact redirects the user back to the homepage instead of the selected page.</t>
  </si>
  <si>
    <t>1.Open Link
3.Clicking navigation items such as Video Courses, Articles, or Contact</t>
  </si>
  <si>
    <t>Each navigation link should open its corresponding page.</t>
  </si>
  <si>
    <t>All navigation links redirect to the front/home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</si>
</sst>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666666"/>
      <name val="Calibri"/>
    </font>
    <font>
      <b/>
      <sz val="11"/>
      <color rgb="FF000000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AF3F8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0" applyFont="1"/>
    <xf numFmtId="0" fontId="6" fillId="5" borderId="0" xfId="0" applyFont="1" applyFill="1" applyAlignment="1">
      <alignment horizontal="center"/>
    </xf>
    <xf numFmtId="0" fontId="2" fillId="2" borderId="0" xfId="0" applyFont="1" applyFill="1"/>
    <xf numFmtId="0" fontId="6" fillId="6" borderId="0" xfId="0" applyFont="1" applyFill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left"/>
    </xf>
    <xf numFmtId="0" fontId="3" fillId="0" borderId="0" xfId="0" applyFont="1" applyAlignment="1">
      <alignment vertical="center" wrapText="1"/>
    </xf>
    <xf numFmtId="165" fontId="4" fillId="4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4" borderId="0" xfId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0" borderId="0" xfId="0" applyAlignment="1"/>
    <xf numFmtId="0" fontId="7" fillId="3" borderId="0" xfId="1" applyFill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vertical="center" wrapText="1"/>
    </xf>
    <xf numFmtId="165" fontId="4" fillId="3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7">
    <dxf>
      <fill>
        <patternFill patternType="solid">
          <fgColor rgb="FFD9D2E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Bugs by Severity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Summary!$E$3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Summary!$D$4:$D$7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Summary!$E$4:$E$7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F-49BC-872C-99D7597BD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Severity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8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m.getmytestdomain.com/" TargetMode="External"/><Relationship Id="rId13" Type="http://schemas.openxmlformats.org/officeDocument/2006/relationships/hyperlink" Target="https://imgur.com/2FOy18W" TargetMode="External"/><Relationship Id="rId18" Type="http://schemas.openxmlformats.org/officeDocument/2006/relationships/hyperlink" Target="https://cm.getmytestdomain.com/" TargetMode="External"/><Relationship Id="rId26" Type="http://schemas.openxmlformats.org/officeDocument/2006/relationships/hyperlink" Target="https://imgur.com/h3UzUVe" TargetMode="External"/><Relationship Id="rId3" Type="http://schemas.openxmlformats.org/officeDocument/2006/relationships/hyperlink" Target="https://cm.getmytestdomain.com/" TargetMode="External"/><Relationship Id="rId21" Type="http://schemas.openxmlformats.org/officeDocument/2006/relationships/hyperlink" Target="https://imgur.com/oJdR7Px" TargetMode="External"/><Relationship Id="rId7" Type="http://schemas.openxmlformats.org/officeDocument/2006/relationships/hyperlink" Target="https://imgur.com/zzDCMDS" TargetMode="External"/><Relationship Id="rId12" Type="http://schemas.openxmlformats.org/officeDocument/2006/relationships/hyperlink" Target="https://cm.getmytestdomain.com/" TargetMode="External"/><Relationship Id="rId17" Type="http://schemas.openxmlformats.org/officeDocument/2006/relationships/hyperlink" Target="https://cm.getmytestdomain.com/" TargetMode="External"/><Relationship Id="rId25" Type="http://schemas.openxmlformats.org/officeDocument/2006/relationships/hyperlink" Target="https://cm.getmytestdomain.com/" TargetMode="External"/><Relationship Id="rId2" Type="http://schemas.openxmlformats.org/officeDocument/2006/relationships/hyperlink" Target="https://cm.getmytestdomain.com/" TargetMode="External"/><Relationship Id="rId16" Type="http://schemas.openxmlformats.org/officeDocument/2006/relationships/hyperlink" Target="https://cm.getmytestdomain.com/" TargetMode="External"/><Relationship Id="rId20" Type="http://schemas.openxmlformats.org/officeDocument/2006/relationships/hyperlink" Target="https://cm.getmytestdomain.com/" TargetMode="External"/><Relationship Id="rId1" Type="http://schemas.openxmlformats.org/officeDocument/2006/relationships/hyperlink" Target="https://cm.getmytestdomain.com/" TargetMode="External"/><Relationship Id="rId6" Type="http://schemas.openxmlformats.org/officeDocument/2006/relationships/hyperlink" Target="https://cm.getmytestdomain.com/" TargetMode="External"/><Relationship Id="rId11" Type="http://schemas.openxmlformats.org/officeDocument/2006/relationships/hyperlink" Target="https://imgur.com/Q0sjfdA" TargetMode="External"/><Relationship Id="rId24" Type="http://schemas.openxmlformats.org/officeDocument/2006/relationships/hyperlink" Target="https://imgur.com/EfWBGSB" TargetMode="External"/><Relationship Id="rId5" Type="http://schemas.openxmlformats.org/officeDocument/2006/relationships/hyperlink" Target="https://imgur.com/6BqxBEo" TargetMode="External"/><Relationship Id="rId15" Type="http://schemas.openxmlformats.org/officeDocument/2006/relationships/hyperlink" Target="https://cm.getmytestdomain.com/" TargetMode="External"/><Relationship Id="rId23" Type="http://schemas.openxmlformats.org/officeDocument/2006/relationships/hyperlink" Target="https://imgur.com/xuD9KeY" TargetMode="External"/><Relationship Id="rId10" Type="http://schemas.openxmlformats.org/officeDocument/2006/relationships/hyperlink" Target="https://cm.getmytestdomain.com/" TargetMode="External"/><Relationship Id="rId19" Type="http://schemas.openxmlformats.org/officeDocument/2006/relationships/hyperlink" Target="https://cm.getmytestdomain.com/" TargetMode="External"/><Relationship Id="rId4" Type="http://schemas.openxmlformats.org/officeDocument/2006/relationships/hyperlink" Target="https://imgur.com/a/mqyg6eu" TargetMode="External"/><Relationship Id="rId9" Type="http://schemas.openxmlformats.org/officeDocument/2006/relationships/hyperlink" Target="https://imgur.com/hjHIK93" TargetMode="External"/><Relationship Id="rId14" Type="http://schemas.openxmlformats.org/officeDocument/2006/relationships/hyperlink" Target="https://cm.getmytestdomain.com/" TargetMode="External"/><Relationship Id="rId22" Type="http://schemas.openxmlformats.org/officeDocument/2006/relationships/hyperlink" Target="https://imgur.com/VmE7Rfd" TargetMode="External"/><Relationship Id="rId27" Type="http://schemas.openxmlformats.org/officeDocument/2006/relationships/hyperlink" Target="https://cm.getmytestdomai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3"/>
  <sheetViews>
    <sheetView showGridLines="0" tabSelected="1" topLeftCell="G1" workbookViewId="0">
      <pane ySplit="3" topLeftCell="A16" activePane="bottomLeft" state="frozen"/>
      <selection pane="bottomLeft" activeCell="I21" sqref="I21"/>
    </sheetView>
  </sheetViews>
  <sheetFormatPr defaultRowHeight="15" x14ac:dyDescent="0.25"/>
  <cols>
    <col min="1" max="1" width="12" customWidth="1"/>
    <col min="2" max="2" width="15.85546875" customWidth="1"/>
    <col min="3" max="3" width="18" customWidth="1"/>
    <col min="4" max="4" width="32" customWidth="1"/>
    <col min="5" max="5" width="20" customWidth="1"/>
    <col min="6" max="6" width="28" customWidth="1"/>
    <col min="7" max="7" width="38" customWidth="1"/>
    <col min="8" max="8" width="42" customWidth="1"/>
    <col min="9" max="10" width="38" customWidth="1"/>
    <col min="11" max="12" width="13" customWidth="1"/>
    <col min="13" max="13" width="18" customWidth="1"/>
    <col min="14" max="14" width="25" customWidth="1"/>
    <col min="15" max="15" width="28" customWidth="1"/>
  </cols>
  <sheetData>
    <row r="1" spans="1:15" ht="30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15" s="16" customFormat="1" ht="42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</row>
    <row r="4" spans="1:15" s="13" customFormat="1" ht="51.95" customHeight="1" x14ac:dyDescent="0.25">
      <c r="A4" s="9" t="s">
        <v>16</v>
      </c>
      <c r="B4" s="10">
        <v>46243</v>
      </c>
      <c r="C4" s="11" t="s">
        <v>17</v>
      </c>
      <c r="D4" s="11" t="s">
        <v>18</v>
      </c>
      <c r="E4" s="12" t="s">
        <v>19</v>
      </c>
      <c r="F4" s="11" t="s">
        <v>20</v>
      </c>
      <c r="G4" s="11" t="s">
        <v>21</v>
      </c>
      <c r="H4" s="11" t="s">
        <v>22</v>
      </c>
      <c r="I4" s="11" t="s">
        <v>23</v>
      </c>
      <c r="J4" s="11" t="s">
        <v>24</v>
      </c>
      <c r="K4" s="11" t="s">
        <v>25</v>
      </c>
      <c r="L4" s="12" t="s">
        <v>25</v>
      </c>
      <c r="M4" s="11" t="s">
        <v>26</v>
      </c>
      <c r="N4" s="12" t="s">
        <v>27</v>
      </c>
      <c r="O4" s="12"/>
    </row>
    <row r="5" spans="1:15" s="13" customFormat="1" ht="51.95" customHeight="1" x14ac:dyDescent="0.25">
      <c r="A5" s="9" t="s">
        <v>43</v>
      </c>
      <c r="B5" s="10">
        <v>46244</v>
      </c>
      <c r="C5" s="11" t="s">
        <v>37</v>
      </c>
      <c r="D5" s="14" t="s">
        <v>38</v>
      </c>
      <c r="E5" s="15" t="s">
        <v>107</v>
      </c>
      <c r="F5" s="11" t="s">
        <v>39</v>
      </c>
      <c r="G5" s="11" t="s">
        <v>40</v>
      </c>
      <c r="H5" s="11" t="s">
        <v>41</v>
      </c>
      <c r="I5" s="11" t="s">
        <v>42</v>
      </c>
      <c r="J5" s="11" t="s">
        <v>44</v>
      </c>
      <c r="K5" s="11" t="s">
        <v>36</v>
      </c>
      <c r="L5" s="15" t="s">
        <v>36</v>
      </c>
      <c r="M5" s="11" t="s">
        <v>26</v>
      </c>
      <c r="N5" s="12" t="s">
        <v>27</v>
      </c>
      <c r="O5" s="17" t="s">
        <v>58</v>
      </c>
    </row>
    <row r="6" spans="1:15" s="13" customFormat="1" ht="70.5" customHeight="1" x14ac:dyDescent="0.25">
      <c r="A6" s="9" t="s">
        <v>45</v>
      </c>
      <c r="B6" s="10">
        <v>46245</v>
      </c>
      <c r="C6" s="11" t="s">
        <v>37</v>
      </c>
      <c r="D6" s="14" t="s">
        <v>38</v>
      </c>
      <c r="E6" s="15" t="s">
        <v>107</v>
      </c>
      <c r="F6" s="11" t="s">
        <v>46</v>
      </c>
      <c r="G6" s="11" t="s">
        <v>52</v>
      </c>
      <c r="H6" s="11" t="s">
        <v>47</v>
      </c>
      <c r="I6" s="11" t="s">
        <v>49</v>
      </c>
      <c r="J6" s="11" t="s">
        <v>48</v>
      </c>
      <c r="K6" s="11" t="s">
        <v>36</v>
      </c>
      <c r="L6" s="15" t="s">
        <v>36</v>
      </c>
      <c r="M6" s="11" t="s">
        <v>26</v>
      </c>
      <c r="N6" s="12" t="s">
        <v>27</v>
      </c>
      <c r="O6" s="15"/>
    </row>
    <row r="7" spans="1:15" s="13" customFormat="1" ht="86.25" customHeight="1" x14ac:dyDescent="0.25">
      <c r="A7" s="9" t="s">
        <v>50</v>
      </c>
      <c r="B7" s="10">
        <v>46246</v>
      </c>
      <c r="C7" s="11" t="s">
        <v>37</v>
      </c>
      <c r="D7" s="14" t="s">
        <v>38</v>
      </c>
      <c r="E7" s="15" t="s">
        <v>107</v>
      </c>
      <c r="F7" s="11" t="s">
        <v>51</v>
      </c>
      <c r="G7" s="11" t="s">
        <v>53</v>
      </c>
      <c r="H7" s="11" t="s">
        <v>56</v>
      </c>
      <c r="I7" s="11" t="s">
        <v>54</v>
      </c>
      <c r="J7" s="11" t="s">
        <v>55</v>
      </c>
      <c r="K7" s="11" t="s">
        <v>36</v>
      </c>
      <c r="L7" s="15" t="s">
        <v>34</v>
      </c>
      <c r="M7" s="11" t="s">
        <v>26</v>
      </c>
      <c r="N7" s="12" t="s">
        <v>27</v>
      </c>
      <c r="O7" s="17" t="s">
        <v>59</v>
      </c>
    </row>
    <row r="8" spans="1:15" s="13" customFormat="1" ht="78.75" customHeight="1" x14ac:dyDescent="0.25">
      <c r="A8" s="9" t="s">
        <v>57</v>
      </c>
      <c r="B8" s="10">
        <v>46247</v>
      </c>
      <c r="C8" s="11" t="s">
        <v>37</v>
      </c>
      <c r="D8" s="14" t="s">
        <v>38</v>
      </c>
      <c r="E8" s="15" t="s">
        <v>108</v>
      </c>
      <c r="F8" s="11" t="s">
        <v>60</v>
      </c>
      <c r="G8" s="11" t="s">
        <v>61</v>
      </c>
      <c r="H8" s="11" t="s">
        <v>62</v>
      </c>
      <c r="I8" s="11" t="s">
        <v>54</v>
      </c>
      <c r="J8" s="11" t="s">
        <v>63</v>
      </c>
      <c r="K8" s="11" t="s">
        <v>36</v>
      </c>
      <c r="L8" s="15" t="s">
        <v>36</v>
      </c>
      <c r="M8" s="11" t="s">
        <v>26</v>
      </c>
      <c r="N8" s="12" t="s">
        <v>27</v>
      </c>
      <c r="O8" s="17" t="s">
        <v>64</v>
      </c>
    </row>
    <row r="9" spans="1:15" s="13" customFormat="1" ht="51.95" customHeight="1" x14ac:dyDescent="0.25">
      <c r="A9" s="9" t="s">
        <v>65</v>
      </c>
      <c r="B9" s="10">
        <v>46248</v>
      </c>
      <c r="C9" s="11" t="s">
        <v>37</v>
      </c>
      <c r="D9" s="14" t="s">
        <v>38</v>
      </c>
      <c r="E9" s="15" t="s">
        <v>108</v>
      </c>
      <c r="F9" s="11" t="s">
        <v>66</v>
      </c>
      <c r="G9" s="11" t="s">
        <v>67</v>
      </c>
      <c r="H9" s="11" t="s">
        <v>68</v>
      </c>
      <c r="I9" s="11" t="s">
        <v>69</v>
      </c>
      <c r="J9" s="11" t="s">
        <v>70</v>
      </c>
      <c r="K9" s="11" t="s">
        <v>36</v>
      </c>
      <c r="L9" s="15" t="s">
        <v>34</v>
      </c>
      <c r="M9" s="11" t="s">
        <v>26</v>
      </c>
      <c r="N9" s="12" t="s">
        <v>27</v>
      </c>
      <c r="O9" s="17" t="s">
        <v>71</v>
      </c>
    </row>
    <row r="10" spans="1:15" s="13" customFormat="1" ht="51.95" customHeight="1" x14ac:dyDescent="0.25">
      <c r="A10" s="9" t="s">
        <v>72</v>
      </c>
      <c r="B10" s="10">
        <v>46249</v>
      </c>
      <c r="C10" s="11" t="s">
        <v>37</v>
      </c>
      <c r="D10" s="14" t="s">
        <v>38</v>
      </c>
      <c r="E10" s="15" t="s">
        <v>109</v>
      </c>
      <c r="F10" s="11" t="s">
        <v>73</v>
      </c>
      <c r="G10" s="11" t="s">
        <v>74</v>
      </c>
      <c r="H10" s="11" t="s">
        <v>75</v>
      </c>
      <c r="I10" s="11" t="s">
        <v>76</v>
      </c>
      <c r="J10" s="11" t="s">
        <v>82</v>
      </c>
      <c r="K10" s="11" t="s">
        <v>34</v>
      </c>
      <c r="L10" s="15" t="s">
        <v>25</v>
      </c>
      <c r="M10" s="11" t="s">
        <v>26</v>
      </c>
      <c r="N10" s="12" t="s">
        <v>27</v>
      </c>
      <c r="O10" s="17" t="s">
        <v>77</v>
      </c>
    </row>
    <row r="11" spans="1:15" s="13" customFormat="1" ht="63.75" customHeight="1" x14ac:dyDescent="0.25">
      <c r="A11" s="9" t="s">
        <v>78</v>
      </c>
      <c r="B11" s="10">
        <v>46250</v>
      </c>
      <c r="C11" s="11" t="s">
        <v>37</v>
      </c>
      <c r="D11" s="14" t="s">
        <v>38</v>
      </c>
      <c r="E11" s="15" t="s">
        <v>109</v>
      </c>
      <c r="F11" s="11" t="s">
        <v>92</v>
      </c>
      <c r="G11" s="11" t="s">
        <v>79</v>
      </c>
      <c r="H11" s="11" t="s">
        <v>80</v>
      </c>
      <c r="I11" s="11" t="s">
        <v>81</v>
      </c>
      <c r="J11" s="11" t="s">
        <v>83</v>
      </c>
      <c r="K11" s="11" t="s">
        <v>34</v>
      </c>
      <c r="L11" s="15" t="s">
        <v>25</v>
      </c>
      <c r="M11" s="11" t="s">
        <v>26</v>
      </c>
      <c r="N11" s="12" t="s">
        <v>27</v>
      </c>
      <c r="O11" s="17" t="s">
        <v>84</v>
      </c>
    </row>
    <row r="12" spans="1:15" s="13" customFormat="1" ht="87.75" customHeight="1" x14ac:dyDescent="0.25">
      <c r="A12" s="9" t="s">
        <v>85</v>
      </c>
      <c r="B12" s="10">
        <v>46251</v>
      </c>
      <c r="C12" s="11" t="s">
        <v>37</v>
      </c>
      <c r="D12" s="14" t="s">
        <v>38</v>
      </c>
      <c r="E12" s="15" t="s">
        <v>105</v>
      </c>
      <c r="F12" s="11" t="s">
        <v>88</v>
      </c>
      <c r="G12" s="11" t="s">
        <v>104</v>
      </c>
      <c r="H12" s="11" t="s">
        <v>86</v>
      </c>
      <c r="I12" s="11" t="s">
        <v>87</v>
      </c>
      <c r="J12" s="11" t="s">
        <v>89</v>
      </c>
      <c r="K12" s="11" t="s">
        <v>31</v>
      </c>
      <c r="L12" s="15" t="s">
        <v>90</v>
      </c>
      <c r="M12" s="11" t="s">
        <v>26</v>
      </c>
      <c r="N12" s="12" t="s">
        <v>27</v>
      </c>
      <c r="O12" s="15"/>
    </row>
    <row r="13" spans="1:15" s="13" customFormat="1" ht="97.5" customHeight="1" x14ac:dyDescent="0.25">
      <c r="A13" s="9" t="s">
        <v>91</v>
      </c>
      <c r="B13" s="10">
        <v>46252</v>
      </c>
      <c r="C13" s="11" t="s">
        <v>37</v>
      </c>
      <c r="D13" s="14" t="s">
        <v>38</v>
      </c>
      <c r="E13" s="15" t="s">
        <v>105</v>
      </c>
      <c r="F13" s="11" t="s">
        <v>93</v>
      </c>
      <c r="G13" s="11" t="s">
        <v>94</v>
      </c>
      <c r="H13" s="11" t="s">
        <v>95</v>
      </c>
      <c r="I13" s="11" t="s">
        <v>96</v>
      </c>
      <c r="J13" s="11" t="s">
        <v>97</v>
      </c>
      <c r="K13" s="11" t="s">
        <v>25</v>
      </c>
      <c r="L13" s="15" t="s">
        <v>25</v>
      </c>
      <c r="M13" s="11" t="s">
        <v>26</v>
      </c>
      <c r="N13" s="12" t="s">
        <v>27</v>
      </c>
      <c r="O13" s="15"/>
    </row>
    <row r="14" spans="1:15" s="13" customFormat="1" ht="74.25" customHeight="1" x14ac:dyDescent="0.25">
      <c r="A14" s="9" t="s">
        <v>98</v>
      </c>
      <c r="B14" s="10">
        <v>46253</v>
      </c>
      <c r="C14" s="11" t="s">
        <v>37</v>
      </c>
      <c r="D14" s="14" t="s">
        <v>38</v>
      </c>
      <c r="E14" s="15" t="s">
        <v>106</v>
      </c>
      <c r="F14" s="11" t="s">
        <v>99</v>
      </c>
      <c r="G14" s="11" t="s">
        <v>100</v>
      </c>
      <c r="H14" s="11" t="s">
        <v>101</v>
      </c>
      <c r="I14" s="11" t="s">
        <v>102</v>
      </c>
      <c r="J14" s="11" t="s">
        <v>103</v>
      </c>
      <c r="K14" s="11" t="s">
        <v>36</v>
      </c>
      <c r="L14" s="15" t="s">
        <v>36</v>
      </c>
      <c r="M14" s="11" t="s">
        <v>26</v>
      </c>
      <c r="N14" s="12" t="s">
        <v>27</v>
      </c>
      <c r="O14" s="15"/>
    </row>
    <row r="15" spans="1:15" s="13" customFormat="1" ht="84" customHeight="1" x14ac:dyDescent="0.25">
      <c r="A15" s="9" t="s">
        <v>110</v>
      </c>
      <c r="B15" s="10">
        <v>46254</v>
      </c>
      <c r="C15" s="11" t="s">
        <v>37</v>
      </c>
      <c r="D15" s="14" t="s">
        <v>38</v>
      </c>
      <c r="E15" s="15" t="s">
        <v>106</v>
      </c>
      <c r="F15" s="11" t="s">
        <v>111</v>
      </c>
      <c r="G15" s="11" t="s">
        <v>112</v>
      </c>
      <c r="H15" s="11" t="s">
        <v>113</v>
      </c>
      <c r="I15" s="11" t="s">
        <v>114</v>
      </c>
      <c r="J15" s="11" t="s">
        <v>115</v>
      </c>
      <c r="K15" s="11" t="s">
        <v>31</v>
      </c>
      <c r="L15" s="15" t="s">
        <v>90</v>
      </c>
      <c r="M15" s="11" t="s">
        <v>26</v>
      </c>
      <c r="N15" s="12" t="s">
        <v>27</v>
      </c>
      <c r="O15" s="17" t="s">
        <v>129</v>
      </c>
    </row>
    <row r="16" spans="1:15" s="13" customFormat="1" ht="71.25" customHeight="1" x14ac:dyDescent="0.25">
      <c r="A16" s="9" t="s">
        <v>110</v>
      </c>
      <c r="B16" s="10">
        <v>46254</v>
      </c>
      <c r="C16" s="11" t="s">
        <v>37</v>
      </c>
      <c r="D16" s="14" t="s">
        <v>38</v>
      </c>
      <c r="E16" s="15" t="s">
        <v>106</v>
      </c>
      <c r="F16" s="11" t="s">
        <v>121</v>
      </c>
      <c r="G16" s="11" t="s">
        <v>117</v>
      </c>
      <c r="H16" s="11" t="s">
        <v>118</v>
      </c>
      <c r="I16" s="11" t="s">
        <v>119</v>
      </c>
      <c r="J16" s="11" t="s">
        <v>120</v>
      </c>
      <c r="K16" s="11" t="s">
        <v>25</v>
      </c>
      <c r="L16" s="15" t="s">
        <v>25</v>
      </c>
      <c r="M16" s="11" t="s">
        <v>26</v>
      </c>
      <c r="N16" s="12" t="s">
        <v>27</v>
      </c>
      <c r="O16" s="17" t="s">
        <v>130</v>
      </c>
    </row>
    <row r="17" spans="1:15" s="13" customFormat="1" ht="60" customHeight="1" x14ac:dyDescent="0.25">
      <c r="A17" s="9" t="s">
        <v>116</v>
      </c>
      <c r="B17" s="10">
        <v>46255</v>
      </c>
      <c r="C17" s="11" t="s">
        <v>37</v>
      </c>
      <c r="D17" s="14" t="s">
        <v>38</v>
      </c>
      <c r="E17" s="15" t="s">
        <v>106</v>
      </c>
      <c r="F17" s="11" t="s">
        <v>122</v>
      </c>
      <c r="G17" s="11" t="s">
        <v>123</v>
      </c>
      <c r="H17" s="11" t="s">
        <v>124</v>
      </c>
      <c r="I17" s="11" t="s">
        <v>126</v>
      </c>
      <c r="J17" s="11" t="s">
        <v>125</v>
      </c>
      <c r="K17" s="11" t="s">
        <v>34</v>
      </c>
      <c r="L17" s="15" t="s">
        <v>34</v>
      </c>
      <c r="M17" s="11" t="s">
        <v>26</v>
      </c>
      <c r="N17" s="12" t="s">
        <v>27</v>
      </c>
      <c r="O17" s="17" t="s">
        <v>131</v>
      </c>
    </row>
    <row r="18" spans="1:15" s="13" customFormat="1" ht="69" customHeight="1" x14ac:dyDescent="0.25">
      <c r="A18" s="9" t="s">
        <v>127</v>
      </c>
      <c r="B18" s="10">
        <v>46256</v>
      </c>
      <c r="C18" s="11" t="s">
        <v>37</v>
      </c>
      <c r="D18" s="14" t="s">
        <v>38</v>
      </c>
      <c r="E18" s="15" t="s">
        <v>128</v>
      </c>
      <c r="F18" s="11" t="s">
        <v>132</v>
      </c>
      <c r="G18" s="11" t="s">
        <v>133</v>
      </c>
      <c r="H18" s="11" t="s">
        <v>134</v>
      </c>
      <c r="I18" s="11" t="s">
        <v>135</v>
      </c>
      <c r="J18" s="11" t="s">
        <v>141</v>
      </c>
      <c r="K18" s="11" t="s">
        <v>34</v>
      </c>
      <c r="L18" s="15" t="s">
        <v>34</v>
      </c>
      <c r="M18" s="11" t="s">
        <v>26</v>
      </c>
      <c r="N18" s="12" t="s">
        <v>27</v>
      </c>
      <c r="O18" s="17" t="s">
        <v>136</v>
      </c>
    </row>
    <row r="19" spans="1:15" s="13" customFormat="1" ht="75.75" customHeight="1" x14ac:dyDescent="0.25">
      <c r="A19" s="9" t="s">
        <v>137</v>
      </c>
      <c r="B19" s="10">
        <v>46257</v>
      </c>
      <c r="C19" s="11" t="s">
        <v>37</v>
      </c>
      <c r="D19" s="14" t="s">
        <v>38</v>
      </c>
      <c r="E19" s="15" t="s">
        <v>138</v>
      </c>
      <c r="F19" s="11" t="s">
        <v>51</v>
      </c>
      <c r="G19" s="11" t="s">
        <v>139</v>
      </c>
      <c r="H19" s="11" t="s">
        <v>140</v>
      </c>
      <c r="I19" s="11" t="s">
        <v>54</v>
      </c>
      <c r="J19" s="11" t="s">
        <v>55</v>
      </c>
      <c r="K19" s="11" t="s">
        <v>36</v>
      </c>
      <c r="L19" s="15" t="s">
        <v>34</v>
      </c>
      <c r="M19" s="11" t="s">
        <v>26</v>
      </c>
      <c r="N19" s="12" t="s">
        <v>27</v>
      </c>
      <c r="O19" s="17" t="s">
        <v>142</v>
      </c>
    </row>
    <row r="20" spans="1:15" s="13" customFormat="1" ht="51.95" customHeight="1" x14ac:dyDescent="0.25">
      <c r="A20" s="9" t="s">
        <v>143</v>
      </c>
      <c r="B20" s="10">
        <v>46258</v>
      </c>
      <c r="C20" s="11" t="s">
        <v>37</v>
      </c>
      <c r="D20" s="14" t="s">
        <v>38</v>
      </c>
      <c r="E20" s="15" t="s">
        <v>144</v>
      </c>
      <c r="F20" s="11" t="s">
        <v>145</v>
      </c>
      <c r="G20" s="11" t="s">
        <v>146</v>
      </c>
      <c r="H20" s="11" t="s">
        <v>147</v>
      </c>
      <c r="I20" s="11" t="s">
        <v>148</v>
      </c>
      <c r="J20" s="11" t="s">
        <v>149</v>
      </c>
      <c r="K20" s="11" t="s">
        <v>25</v>
      </c>
      <c r="L20" s="15" t="s">
        <v>90</v>
      </c>
      <c r="M20" s="11" t="s">
        <v>26</v>
      </c>
      <c r="N20" s="12" t="s">
        <v>27</v>
      </c>
      <c r="O20" s="15"/>
    </row>
    <row r="21" spans="1:15" s="13" customFormat="1" ht="51.95" customHeight="1" x14ac:dyDescent="0.25">
      <c r="A21" s="19" t="str">
        <f t="shared" ref="A15:A36" si="0">IF(B21="","","BUG-"&amp;TEXT(ROW()-4,"000"))</f>
        <v/>
      </c>
      <c r="B21" s="10"/>
      <c r="C21" s="11"/>
      <c r="D21" s="11"/>
      <c r="E21" s="15"/>
      <c r="F21" s="11"/>
      <c r="G21" s="11"/>
      <c r="H21" s="11"/>
      <c r="I21" s="11"/>
      <c r="J21" s="11"/>
      <c r="K21" s="11"/>
      <c r="L21" s="15"/>
      <c r="M21" s="11"/>
      <c r="N21" s="15"/>
      <c r="O21" s="15"/>
    </row>
    <row r="22" spans="1:15" s="13" customFormat="1" ht="51.95" customHeight="1" x14ac:dyDescent="0.25">
      <c r="A22" s="19" t="str">
        <f t="shared" si="0"/>
        <v/>
      </c>
      <c r="B22" s="10"/>
      <c r="C22" s="11"/>
      <c r="D22" s="11"/>
      <c r="E22" s="15"/>
      <c r="F22" s="11"/>
      <c r="G22" s="11"/>
      <c r="H22" s="11"/>
      <c r="I22" s="11"/>
      <c r="J22" s="11"/>
      <c r="K22" s="11"/>
      <c r="L22" s="15"/>
      <c r="M22" s="11"/>
      <c r="N22" s="15"/>
      <c r="O22" s="15"/>
    </row>
    <row r="23" spans="1:15" s="13" customFormat="1" ht="51.95" customHeight="1" x14ac:dyDescent="0.25">
      <c r="A23" s="19" t="str">
        <f t="shared" si="0"/>
        <v/>
      </c>
      <c r="B23" s="10"/>
      <c r="C23" s="11"/>
      <c r="D23" s="11"/>
      <c r="E23" s="15"/>
      <c r="F23" s="11"/>
      <c r="G23" s="11"/>
      <c r="H23" s="11"/>
      <c r="I23" s="11"/>
      <c r="J23" s="11"/>
      <c r="K23" s="11"/>
      <c r="L23" s="15"/>
      <c r="M23" s="11"/>
      <c r="N23" s="15"/>
      <c r="O23" s="15"/>
    </row>
    <row r="24" spans="1:15" s="13" customFormat="1" ht="51.95" customHeight="1" x14ac:dyDescent="0.25">
      <c r="A24" s="19" t="str">
        <f t="shared" si="0"/>
        <v/>
      </c>
      <c r="B24" s="10"/>
      <c r="C24" s="11"/>
      <c r="D24" s="11"/>
      <c r="E24" s="15"/>
      <c r="F24" s="11"/>
      <c r="G24" s="11"/>
      <c r="H24" s="11"/>
      <c r="I24" s="11"/>
      <c r="J24" s="11"/>
      <c r="K24" s="11"/>
      <c r="L24" s="15"/>
      <c r="M24" s="11"/>
      <c r="N24" s="15"/>
      <c r="O24" s="15"/>
    </row>
    <row r="25" spans="1:15" s="13" customFormat="1" ht="51.95" customHeight="1" x14ac:dyDescent="0.25">
      <c r="A25" s="19" t="str">
        <f t="shared" si="0"/>
        <v/>
      </c>
      <c r="B25" s="10"/>
      <c r="C25" s="11"/>
      <c r="D25" s="11"/>
      <c r="E25" s="15"/>
      <c r="F25" s="11"/>
      <c r="G25" s="11"/>
      <c r="H25" s="11"/>
      <c r="I25" s="11"/>
      <c r="J25" s="11"/>
      <c r="K25" s="11"/>
      <c r="L25" s="15"/>
      <c r="M25" s="11"/>
      <c r="N25" s="15"/>
      <c r="O25" s="15"/>
    </row>
    <row r="26" spans="1:15" s="13" customFormat="1" ht="51.95" customHeight="1" x14ac:dyDescent="0.25">
      <c r="A26" s="19" t="str">
        <f t="shared" si="0"/>
        <v/>
      </c>
      <c r="B26" s="10"/>
      <c r="C26" s="11"/>
      <c r="D26" s="11"/>
      <c r="E26" s="15"/>
      <c r="F26" s="11"/>
      <c r="G26" s="11"/>
      <c r="H26" s="11"/>
      <c r="I26" s="11"/>
      <c r="J26" s="11"/>
      <c r="K26" s="11"/>
      <c r="L26" s="15"/>
      <c r="M26" s="11"/>
      <c r="N26" s="15"/>
      <c r="O26" s="15"/>
    </row>
    <row r="27" spans="1:15" s="13" customFormat="1" ht="51.95" customHeight="1" x14ac:dyDescent="0.25">
      <c r="A27" s="19" t="str">
        <f t="shared" si="0"/>
        <v/>
      </c>
      <c r="B27" s="10"/>
      <c r="C27" s="11"/>
      <c r="D27" s="11"/>
      <c r="E27" s="15"/>
      <c r="F27" s="11"/>
      <c r="G27" s="11"/>
      <c r="H27" s="11"/>
      <c r="I27" s="11"/>
      <c r="J27" s="11"/>
      <c r="K27" s="11"/>
      <c r="L27" s="15"/>
      <c r="M27" s="11"/>
      <c r="N27" s="15"/>
      <c r="O27" s="15"/>
    </row>
    <row r="28" spans="1:15" s="13" customFormat="1" ht="51.95" customHeight="1" x14ac:dyDescent="0.25">
      <c r="A28" s="19" t="str">
        <f t="shared" si="0"/>
        <v/>
      </c>
      <c r="B28" s="10"/>
      <c r="C28" s="11"/>
      <c r="D28" s="11"/>
      <c r="E28" s="15"/>
      <c r="F28" s="11"/>
      <c r="G28" s="11"/>
      <c r="H28" s="11"/>
      <c r="I28" s="11"/>
      <c r="J28" s="11"/>
      <c r="K28" s="11"/>
      <c r="L28" s="15"/>
      <c r="M28" s="11"/>
      <c r="N28" s="15"/>
      <c r="O28" s="15"/>
    </row>
    <row r="29" spans="1:15" s="13" customFormat="1" ht="51.95" customHeight="1" x14ac:dyDescent="0.25">
      <c r="A29" s="19" t="str">
        <f t="shared" si="0"/>
        <v/>
      </c>
      <c r="B29" s="20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s="13" customFormat="1" ht="51.95" customHeight="1" x14ac:dyDescent="0.25">
      <c r="A30" s="19" t="str">
        <f t="shared" si="0"/>
        <v/>
      </c>
      <c r="B30" s="20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s="13" customFormat="1" ht="51.95" customHeight="1" x14ac:dyDescent="0.25">
      <c r="A31" s="19" t="str">
        <f t="shared" si="0"/>
        <v/>
      </c>
      <c r="B31" s="20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s="13" customFormat="1" ht="51.95" customHeight="1" x14ac:dyDescent="0.25">
      <c r="A32" s="19" t="str">
        <f t="shared" si="0"/>
        <v/>
      </c>
      <c r="B32" s="20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s="13" customFormat="1" ht="51.95" customHeight="1" x14ac:dyDescent="0.25">
      <c r="A33" s="19" t="str">
        <f t="shared" si="0"/>
        <v/>
      </c>
      <c r="B33" s="20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s="13" customFormat="1" ht="51.95" customHeight="1" x14ac:dyDescent="0.25">
      <c r="A34" s="19" t="str">
        <f t="shared" si="0"/>
        <v/>
      </c>
      <c r="B34" s="20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s="13" customFormat="1" ht="51.95" customHeight="1" x14ac:dyDescent="0.25">
      <c r="A35" s="19" t="str">
        <f t="shared" si="0"/>
        <v/>
      </c>
      <c r="B35" s="20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s="13" customFormat="1" ht="51.95" customHeight="1" x14ac:dyDescent="0.25">
      <c r="A36" s="19" t="str">
        <f t="shared" si="0"/>
        <v/>
      </c>
      <c r="B36" s="20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s="13" customFormat="1" ht="51.95" customHeight="1" x14ac:dyDescent="0.25">
      <c r="A37" s="19" t="str">
        <f t="shared" ref="A37:A68" si="1">IF(B37="","","BUG-"&amp;TEXT(ROW()-4,"000"))</f>
        <v/>
      </c>
      <c r="B37" s="20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s="13" customFormat="1" ht="51.95" customHeight="1" x14ac:dyDescent="0.25">
      <c r="A38" s="19" t="str">
        <f t="shared" si="1"/>
        <v/>
      </c>
      <c r="B38" s="20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s="13" customFormat="1" ht="51.95" customHeight="1" x14ac:dyDescent="0.25">
      <c r="A39" s="19" t="str">
        <f t="shared" si="1"/>
        <v/>
      </c>
      <c r="B39" s="20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s="13" customFormat="1" ht="51.95" customHeight="1" x14ac:dyDescent="0.25">
      <c r="A40" s="19" t="str">
        <f t="shared" si="1"/>
        <v/>
      </c>
      <c r="B40" s="20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s="13" customFormat="1" ht="51.95" customHeight="1" x14ac:dyDescent="0.25">
      <c r="A41" s="19" t="str">
        <f t="shared" si="1"/>
        <v/>
      </c>
      <c r="B41" s="20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s="13" customFormat="1" ht="51.95" customHeight="1" x14ac:dyDescent="0.25">
      <c r="A42" s="19" t="str">
        <f t="shared" si="1"/>
        <v/>
      </c>
      <c r="B42" s="20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s="13" customFormat="1" ht="51.95" customHeight="1" x14ac:dyDescent="0.25">
      <c r="A43" s="19" t="str">
        <f t="shared" si="1"/>
        <v/>
      </c>
      <c r="B43" s="20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s="13" customFormat="1" ht="51.95" customHeight="1" x14ac:dyDescent="0.25">
      <c r="A44" s="19" t="str">
        <f t="shared" si="1"/>
        <v/>
      </c>
      <c r="B44" s="20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s="13" customFormat="1" ht="51.95" customHeight="1" x14ac:dyDescent="0.25">
      <c r="A45" s="19" t="str">
        <f t="shared" si="1"/>
        <v/>
      </c>
      <c r="B45" s="20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s="13" customFormat="1" ht="51.95" customHeight="1" x14ac:dyDescent="0.25">
      <c r="A46" s="19" t="str">
        <f t="shared" si="1"/>
        <v/>
      </c>
      <c r="B46" s="20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s="13" customFormat="1" ht="51.95" customHeight="1" x14ac:dyDescent="0.25">
      <c r="A47" s="19" t="str">
        <f t="shared" si="1"/>
        <v/>
      </c>
      <c r="B47" s="20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s="13" customFormat="1" ht="51.95" customHeight="1" x14ac:dyDescent="0.25">
      <c r="A48" s="19" t="str">
        <f t="shared" si="1"/>
        <v/>
      </c>
      <c r="B48" s="20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s="13" customFormat="1" ht="51.95" customHeight="1" x14ac:dyDescent="0.25">
      <c r="A49" s="19" t="str">
        <f t="shared" si="1"/>
        <v/>
      </c>
      <c r="B49" s="20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s="13" customFormat="1" ht="51.95" customHeight="1" x14ac:dyDescent="0.25">
      <c r="A50" s="19" t="str">
        <f t="shared" si="1"/>
        <v/>
      </c>
      <c r="B50" s="20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s="13" customFormat="1" ht="51.95" customHeight="1" x14ac:dyDescent="0.25">
      <c r="A51" s="19" t="str">
        <f t="shared" si="1"/>
        <v/>
      </c>
      <c r="B51" s="20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s="13" customFormat="1" ht="51.95" customHeight="1" x14ac:dyDescent="0.25">
      <c r="A52" s="19" t="str">
        <f t="shared" si="1"/>
        <v/>
      </c>
      <c r="B52" s="20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s="13" customFormat="1" ht="51.95" customHeight="1" x14ac:dyDescent="0.25">
      <c r="A53" s="19" t="str">
        <f t="shared" si="1"/>
        <v/>
      </c>
      <c r="B53" s="20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1:15" s="13" customFormat="1" ht="51.95" customHeight="1" x14ac:dyDescent="0.25">
      <c r="A54" s="19" t="str">
        <f t="shared" si="1"/>
        <v/>
      </c>
      <c r="B54" s="20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s="13" customFormat="1" ht="51.95" customHeight="1" x14ac:dyDescent="0.25">
      <c r="A55" s="19" t="str">
        <f t="shared" si="1"/>
        <v/>
      </c>
      <c r="B55" s="20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s="13" customFormat="1" ht="51.95" customHeight="1" x14ac:dyDescent="0.25">
      <c r="A56" s="19" t="str">
        <f t="shared" si="1"/>
        <v/>
      </c>
      <c r="B56" s="20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s="13" customFormat="1" ht="51.95" customHeight="1" x14ac:dyDescent="0.25">
      <c r="A57" s="19" t="str">
        <f t="shared" si="1"/>
        <v/>
      </c>
      <c r="B57" s="20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s="13" customFormat="1" ht="51.95" customHeight="1" x14ac:dyDescent="0.25">
      <c r="A58" s="19" t="str">
        <f t="shared" si="1"/>
        <v/>
      </c>
      <c r="B58" s="2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s="13" customFormat="1" ht="51.95" customHeight="1" x14ac:dyDescent="0.25">
      <c r="A59" s="19" t="str">
        <f t="shared" si="1"/>
        <v/>
      </c>
      <c r="B59" s="2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s="13" customFormat="1" ht="51.95" customHeight="1" x14ac:dyDescent="0.25">
      <c r="A60" s="19" t="str">
        <f t="shared" si="1"/>
        <v/>
      </c>
      <c r="B60" s="20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s="13" customFormat="1" ht="51.95" customHeight="1" x14ac:dyDescent="0.25">
      <c r="A61" s="19" t="str">
        <f t="shared" si="1"/>
        <v/>
      </c>
      <c r="B61" s="2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s="13" customFormat="1" ht="51.95" customHeight="1" x14ac:dyDescent="0.25">
      <c r="A62" s="19" t="str">
        <f t="shared" si="1"/>
        <v/>
      </c>
      <c r="B62" s="20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s="13" customFormat="1" ht="51.95" customHeight="1" x14ac:dyDescent="0.25">
      <c r="A63" s="19" t="str">
        <f t="shared" si="1"/>
        <v/>
      </c>
      <c r="B63" s="20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s="13" customFormat="1" ht="51.95" customHeight="1" x14ac:dyDescent="0.25">
      <c r="A64" s="19" t="str">
        <f t="shared" si="1"/>
        <v/>
      </c>
      <c r="B64" s="20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s="13" customFormat="1" ht="51.95" customHeight="1" x14ac:dyDescent="0.25">
      <c r="A65" s="19" t="str">
        <f t="shared" si="1"/>
        <v/>
      </c>
      <c r="B65" s="20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s="13" customFormat="1" ht="51.95" customHeight="1" x14ac:dyDescent="0.25">
      <c r="A66" s="19" t="str">
        <f t="shared" si="1"/>
        <v/>
      </c>
      <c r="B66" s="20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s="13" customFormat="1" ht="51.95" customHeight="1" x14ac:dyDescent="0.25">
      <c r="A67" s="19" t="str">
        <f t="shared" si="1"/>
        <v/>
      </c>
      <c r="B67" s="20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s="13" customFormat="1" ht="51.95" customHeight="1" x14ac:dyDescent="0.25">
      <c r="A68" s="19" t="str">
        <f t="shared" si="1"/>
        <v/>
      </c>
      <c r="B68" s="20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s="13" customFormat="1" ht="51.95" customHeight="1" x14ac:dyDescent="0.25">
      <c r="A69" s="19" t="str">
        <f t="shared" ref="A69:A100" si="2">IF(B69="","","BUG-"&amp;TEXT(ROW()-4,"000"))</f>
        <v/>
      </c>
      <c r="B69" s="20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s="13" customFormat="1" ht="51.95" customHeight="1" x14ac:dyDescent="0.25">
      <c r="A70" s="19" t="str">
        <f t="shared" si="2"/>
        <v/>
      </c>
      <c r="B70" s="20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s="13" customFormat="1" ht="51.95" customHeight="1" x14ac:dyDescent="0.25">
      <c r="A71" s="19" t="str">
        <f t="shared" si="2"/>
        <v/>
      </c>
      <c r="B71" s="20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s="13" customFormat="1" ht="51.95" customHeight="1" x14ac:dyDescent="0.25">
      <c r="A72" s="19" t="str">
        <f t="shared" si="2"/>
        <v/>
      </c>
      <c r="B72" s="20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s="13" customFormat="1" ht="51.95" customHeight="1" x14ac:dyDescent="0.25">
      <c r="A73" s="19" t="str">
        <f t="shared" si="2"/>
        <v/>
      </c>
      <c r="B73" s="20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s="13" customFormat="1" ht="51.95" customHeight="1" x14ac:dyDescent="0.25">
      <c r="A74" s="19" t="str">
        <f t="shared" si="2"/>
        <v/>
      </c>
      <c r="B74" s="20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1:15" s="13" customFormat="1" ht="51.95" customHeight="1" x14ac:dyDescent="0.25">
      <c r="A75" s="19" t="str">
        <f t="shared" si="2"/>
        <v/>
      </c>
      <c r="B75" s="20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s="13" customFormat="1" ht="51.95" customHeight="1" x14ac:dyDescent="0.25">
      <c r="A76" s="19" t="str">
        <f t="shared" si="2"/>
        <v/>
      </c>
      <c r="B76" s="20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s="13" customFormat="1" ht="51.95" customHeight="1" x14ac:dyDescent="0.25">
      <c r="A77" s="19" t="str">
        <f t="shared" si="2"/>
        <v/>
      </c>
      <c r="B77" s="20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s="13" customFormat="1" ht="51.95" customHeight="1" x14ac:dyDescent="0.25">
      <c r="A78" s="19" t="str">
        <f t="shared" si="2"/>
        <v/>
      </c>
      <c r="B78" s="20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s="13" customFormat="1" ht="51.95" customHeight="1" x14ac:dyDescent="0.25">
      <c r="A79" s="19" t="str">
        <f t="shared" si="2"/>
        <v/>
      </c>
      <c r="B79" s="20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s="13" customFormat="1" ht="51.95" customHeight="1" x14ac:dyDescent="0.25">
      <c r="A80" s="19" t="str">
        <f t="shared" si="2"/>
        <v/>
      </c>
      <c r="B80" s="20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s="13" customFormat="1" ht="51.95" customHeight="1" x14ac:dyDescent="0.25">
      <c r="A81" s="19" t="str">
        <f t="shared" si="2"/>
        <v/>
      </c>
      <c r="B81" s="20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s="13" customFormat="1" ht="51.95" customHeight="1" x14ac:dyDescent="0.25">
      <c r="A82" s="19" t="str">
        <f t="shared" si="2"/>
        <v/>
      </c>
      <c r="B82" s="20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s="13" customFormat="1" ht="51.95" customHeight="1" x14ac:dyDescent="0.25">
      <c r="A83" s="19" t="str">
        <f t="shared" si="2"/>
        <v/>
      </c>
      <c r="B83" s="20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s="13" customFormat="1" ht="51.95" customHeight="1" x14ac:dyDescent="0.25">
      <c r="A84" s="19" t="str">
        <f t="shared" si="2"/>
        <v/>
      </c>
      <c r="B84" s="20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s="13" customFormat="1" ht="51.95" customHeight="1" x14ac:dyDescent="0.25">
      <c r="A85" s="19" t="str">
        <f t="shared" si="2"/>
        <v/>
      </c>
      <c r="B85" s="20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s="13" customFormat="1" ht="51.95" customHeight="1" x14ac:dyDescent="0.25">
      <c r="A86" s="19" t="str">
        <f t="shared" si="2"/>
        <v/>
      </c>
      <c r="B86" s="20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s="13" customFormat="1" ht="51.95" customHeight="1" x14ac:dyDescent="0.25">
      <c r="A87" s="19" t="str">
        <f t="shared" si="2"/>
        <v/>
      </c>
      <c r="B87" s="20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s="13" customFormat="1" ht="51.95" customHeight="1" x14ac:dyDescent="0.25">
      <c r="A88" s="19" t="str">
        <f t="shared" si="2"/>
        <v/>
      </c>
      <c r="B88" s="20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s="13" customFormat="1" ht="51.95" customHeight="1" x14ac:dyDescent="0.25">
      <c r="A89" s="19" t="str">
        <f t="shared" si="2"/>
        <v/>
      </c>
      <c r="B89" s="20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s="13" customFormat="1" ht="51.95" customHeight="1" x14ac:dyDescent="0.25">
      <c r="A90" s="19" t="str">
        <f t="shared" si="2"/>
        <v/>
      </c>
      <c r="B90" s="20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s="13" customFormat="1" ht="51.95" customHeight="1" x14ac:dyDescent="0.25">
      <c r="A91" s="19" t="str">
        <f t="shared" si="2"/>
        <v/>
      </c>
      <c r="B91" s="20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s="13" customFormat="1" ht="51.95" customHeight="1" x14ac:dyDescent="0.25">
      <c r="A92" s="19" t="str">
        <f t="shared" si="2"/>
        <v/>
      </c>
      <c r="B92" s="20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s="13" customFormat="1" ht="51.95" customHeight="1" x14ac:dyDescent="0.25">
      <c r="A93" s="19" t="str">
        <f t="shared" si="2"/>
        <v/>
      </c>
      <c r="B93" s="20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s="13" customFormat="1" ht="51.95" customHeight="1" x14ac:dyDescent="0.25">
      <c r="A94" s="19" t="str">
        <f t="shared" si="2"/>
        <v/>
      </c>
      <c r="B94" s="20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s="13" customFormat="1" ht="51.95" customHeight="1" x14ac:dyDescent="0.25">
      <c r="A95" s="19" t="str">
        <f t="shared" si="2"/>
        <v/>
      </c>
      <c r="B95" s="20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1:15" s="13" customFormat="1" ht="51.95" customHeight="1" x14ac:dyDescent="0.25">
      <c r="A96" s="19" t="str">
        <f t="shared" si="2"/>
        <v/>
      </c>
      <c r="B96" s="20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s="13" customFormat="1" ht="51.95" customHeight="1" x14ac:dyDescent="0.25">
      <c r="A97" s="19" t="str">
        <f t="shared" si="2"/>
        <v/>
      </c>
      <c r="B97" s="20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1:15" s="13" customFormat="1" ht="51.95" customHeight="1" x14ac:dyDescent="0.25">
      <c r="A98" s="19" t="str">
        <f t="shared" si="2"/>
        <v/>
      </c>
      <c r="B98" s="20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s="13" customFormat="1" ht="51.95" customHeight="1" x14ac:dyDescent="0.25">
      <c r="A99" s="19" t="str">
        <f t="shared" si="2"/>
        <v/>
      </c>
      <c r="B99" s="20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1:15" s="13" customFormat="1" ht="51.95" customHeight="1" x14ac:dyDescent="0.25">
      <c r="A100" s="19" t="str">
        <f t="shared" si="2"/>
        <v/>
      </c>
      <c r="B100" s="20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s="13" customFormat="1" ht="51.95" customHeight="1" x14ac:dyDescent="0.25">
      <c r="A101" s="19" t="str">
        <f t="shared" ref="A101:A132" si="3">IF(B101="","","BUG-"&amp;TEXT(ROW()-4,"000"))</f>
        <v/>
      </c>
      <c r="B101" s="20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s="13" customFormat="1" ht="51.95" customHeight="1" x14ac:dyDescent="0.25">
      <c r="A102" s="19" t="str">
        <f t="shared" si="3"/>
        <v/>
      </c>
      <c r="B102" s="20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s="13" customFormat="1" ht="51.95" customHeight="1" x14ac:dyDescent="0.25">
      <c r="A103" s="19" t="str">
        <f t="shared" si="3"/>
        <v/>
      </c>
      <c r="B103" s="20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s="13" customFormat="1" ht="51.95" customHeight="1" x14ac:dyDescent="0.25">
      <c r="A104" s="19" t="str">
        <f t="shared" si="3"/>
        <v/>
      </c>
      <c r="B104" s="20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s="13" customFormat="1" ht="51.95" customHeight="1" x14ac:dyDescent="0.25">
      <c r="A105" s="19" t="str">
        <f t="shared" si="3"/>
        <v/>
      </c>
      <c r="B105" s="20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s="13" customFormat="1" ht="51.95" customHeight="1" x14ac:dyDescent="0.25">
      <c r="A106" s="19" t="str">
        <f t="shared" si="3"/>
        <v/>
      </c>
      <c r="B106" s="20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s="13" customFormat="1" ht="51.95" customHeight="1" x14ac:dyDescent="0.25">
      <c r="A107" s="19" t="str">
        <f t="shared" si="3"/>
        <v/>
      </c>
      <c r="B107" s="20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s="13" customFormat="1" ht="51.95" customHeight="1" x14ac:dyDescent="0.25">
      <c r="A108" s="19" t="str">
        <f t="shared" si="3"/>
        <v/>
      </c>
      <c r="B108" s="20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s="13" customFormat="1" ht="51.95" customHeight="1" x14ac:dyDescent="0.25">
      <c r="A109" s="19" t="str">
        <f t="shared" si="3"/>
        <v/>
      </c>
      <c r="B109" s="20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s="13" customFormat="1" ht="51.95" customHeight="1" x14ac:dyDescent="0.25">
      <c r="A110" s="19" t="str">
        <f t="shared" si="3"/>
        <v/>
      </c>
      <c r="B110" s="20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s="13" customFormat="1" ht="51.95" customHeight="1" x14ac:dyDescent="0.25">
      <c r="A111" s="19" t="str">
        <f t="shared" si="3"/>
        <v/>
      </c>
      <c r="B111" s="20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s="13" customFormat="1" ht="51.95" customHeight="1" x14ac:dyDescent="0.25">
      <c r="A112" s="19" t="str">
        <f t="shared" si="3"/>
        <v/>
      </c>
      <c r="B112" s="20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s="13" customFormat="1" ht="51.95" customHeight="1" x14ac:dyDescent="0.25">
      <c r="A113" s="19" t="str">
        <f t="shared" si="3"/>
        <v/>
      </c>
      <c r="B113" s="20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s="13" customFormat="1" ht="51.95" customHeight="1" x14ac:dyDescent="0.25">
      <c r="A114" s="19" t="str">
        <f t="shared" si="3"/>
        <v/>
      </c>
      <c r="B114" s="20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s="13" customFormat="1" ht="51.95" customHeight="1" x14ac:dyDescent="0.25">
      <c r="A115" s="19" t="str">
        <f t="shared" si="3"/>
        <v/>
      </c>
      <c r="B115" s="20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s="13" customFormat="1" ht="51.95" customHeight="1" x14ac:dyDescent="0.25">
      <c r="A116" s="19" t="str">
        <f t="shared" si="3"/>
        <v/>
      </c>
      <c r="B116" s="20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s="13" customFormat="1" ht="51.95" customHeight="1" x14ac:dyDescent="0.25">
      <c r="A117" s="19" t="str">
        <f t="shared" si="3"/>
        <v/>
      </c>
      <c r="B117" s="20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s="13" customFormat="1" ht="51.95" customHeight="1" x14ac:dyDescent="0.25">
      <c r="A118" s="19" t="str">
        <f t="shared" si="3"/>
        <v/>
      </c>
      <c r="B118" s="20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s="13" customFormat="1" ht="51.95" customHeight="1" x14ac:dyDescent="0.25">
      <c r="A119" s="19" t="str">
        <f t="shared" si="3"/>
        <v/>
      </c>
      <c r="B119" s="20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s="13" customFormat="1" ht="51.95" customHeight="1" x14ac:dyDescent="0.25">
      <c r="A120" s="19" t="str">
        <f t="shared" si="3"/>
        <v/>
      </c>
      <c r="B120" s="20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s="13" customFormat="1" ht="51.95" customHeight="1" x14ac:dyDescent="0.25">
      <c r="A121" s="19" t="str">
        <f t="shared" si="3"/>
        <v/>
      </c>
      <c r="B121" s="20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spans="1:15" s="13" customFormat="1" ht="51.95" customHeight="1" x14ac:dyDescent="0.25">
      <c r="A122" s="19" t="str">
        <f t="shared" si="3"/>
        <v/>
      </c>
      <c r="B122" s="20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s="13" customFormat="1" ht="51.95" customHeight="1" x14ac:dyDescent="0.25">
      <c r="A123" s="19" t="str">
        <f t="shared" si="3"/>
        <v/>
      </c>
      <c r="B123" s="20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1:15" s="13" customFormat="1" ht="51.95" customHeight="1" x14ac:dyDescent="0.25">
      <c r="A124" s="19" t="str">
        <f t="shared" si="3"/>
        <v/>
      </c>
      <c r="B124" s="20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1:15" s="13" customFormat="1" ht="51.95" customHeight="1" x14ac:dyDescent="0.25">
      <c r="A125" s="19" t="str">
        <f t="shared" si="3"/>
        <v/>
      </c>
      <c r="B125" s="20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1:15" s="13" customFormat="1" ht="51.95" customHeight="1" x14ac:dyDescent="0.25">
      <c r="A126" s="19" t="str">
        <f t="shared" si="3"/>
        <v/>
      </c>
      <c r="B126" s="20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 s="13" customFormat="1" ht="51.95" customHeight="1" x14ac:dyDescent="0.25">
      <c r="A127" s="19" t="str">
        <f t="shared" si="3"/>
        <v/>
      </c>
      <c r="B127" s="20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1:15" s="13" customFormat="1" ht="51.95" customHeight="1" x14ac:dyDescent="0.25">
      <c r="A128" s="19" t="str">
        <f t="shared" si="3"/>
        <v/>
      </c>
      <c r="B128" s="20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1:15" s="13" customFormat="1" ht="51.95" customHeight="1" x14ac:dyDescent="0.25">
      <c r="A129" s="19" t="str">
        <f t="shared" si="3"/>
        <v/>
      </c>
      <c r="B129" s="20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 s="13" customFormat="1" ht="51.95" customHeight="1" x14ac:dyDescent="0.25">
      <c r="A130" s="19" t="str">
        <f t="shared" si="3"/>
        <v/>
      </c>
      <c r="B130" s="20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 s="13" customFormat="1" ht="51.95" customHeight="1" x14ac:dyDescent="0.25">
      <c r="A131" s="19" t="str">
        <f t="shared" si="3"/>
        <v/>
      </c>
      <c r="B131" s="20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1:15" s="13" customFormat="1" ht="51.95" customHeight="1" x14ac:dyDescent="0.25">
      <c r="A132" s="19" t="str">
        <f t="shared" si="3"/>
        <v/>
      </c>
      <c r="B132" s="20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1:15" s="13" customFormat="1" ht="51.95" customHeight="1" x14ac:dyDescent="0.25">
      <c r="A133" s="19" t="str">
        <f t="shared" ref="A133:A164" si="4">IF(B133="","","BUG-"&amp;TEXT(ROW()-4,"000"))</f>
        <v/>
      </c>
      <c r="B133" s="20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1:15" s="13" customFormat="1" ht="51.95" customHeight="1" x14ac:dyDescent="0.25">
      <c r="A134" s="19" t="str">
        <f t="shared" si="4"/>
        <v/>
      </c>
      <c r="B134" s="20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s="13" customFormat="1" ht="51.95" customHeight="1" x14ac:dyDescent="0.25">
      <c r="A135" s="19" t="str">
        <f t="shared" si="4"/>
        <v/>
      </c>
      <c r="B135" s="20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1:15" s="13" customFormat="1" ht="51.95" customHeight="1" x14ac:dyDescent="0.25">
      <c r="A136" s="19" t="str">
        <f t="shared" si="4"/>
        <v/>
      </c>
      <c r="B136" s="20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s="13" customFormat="1" ht="51.95" customHeight="1" x14ac:dyDescent="0.25">
      <c r="A137" s="19" t="str">
        <f t="shared" si="4"/>
        <v/>
      </c>
      <c r="B137" s="20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s="13" customFormat="1" ht="51.95" customHeight="1" x14ac:dyDescent="0.25">
      <c r="A138" s="19" t="str">
        <f t="shared" si="4"/>
        <v/>
      </c>
      <c r="B138" s="20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s="13" customFormat="1" ht="51.95" customHeight="1" x14ac:dyDescent="0.25">
      <c r="A139" s="19" t="str">
        <f t="shared" si="4"/>
        <v/>
      </c>
      <c r="B139" s="20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s="13" customFormat="1" ht="51.95" customHeight="1" x14ac:dyDescent="0.25">
      <c r="A140" s="19" t="str">
        <f t="shared" si="4"/>
        <v/>
      </c>
      <c r="B140" s="20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1:15" s="13" customFormat="1" ht="51.95" customHeight="1" x14ac:dyDescent="0.25">
      <c r="A141" s="19" t="str">
        <f t="shared" si="4"/>
        <v/>
      </c>
      <c r="B141" s="20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1:15" s="13" customFormat="1" ht="51.95" customHeight="1" x14ac:dyDescent="0.25">
      <c r="A142" s="19" t="str">
        <f t="shared" si="4"/>
        <v/>
      </c>
      <c r="B142" s="20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s="13" customFormat="1" ht="51.95" customHeight="1" x14ac:dyDescent="0.25">
      <c r="A143" s="19" t="str">
        <f t="shared" si="4"/>
        <v/>
      </c>
      <c r="B143" s="20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s="13" customFormat="1" ht="51.95" customHeight="1" x14ac:dyDescent="0.25">
      <c r="A144" s="19" t="str">
        <f t="shared" si="4"/>
        <v/>
      </c>
      <c r="B144" s="20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s="13" customFormat="1" ht="51.95" customHeight="1" x14ac:dyDescent="0.25">
      <c r="A145" s="19" t="str">
        <f t="shared" si="4"/>
        <v/>
      </c>
      <c r="B145" s="20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s="13" customFormat="1" ht="51.95" customHeight="1" x14ac:dyDescent="0.25">
      <c r="A146" s="19" t="str">
        <f t="shared" si="4"/>
        <v/>
      </c>
      <c r="B146" s="20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s="13" customFormat="1" ht="51.95" customHeight="1" x14ac:dyDescent="0.25">
      <c r="A147" s="19" t="str">
        <f t="shared" si="4"/>
        <v/>
      </c>
      <c r="B147" s="20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s="13" customFormat="1" ht="51.95" customHeight="1" x14ac:dyDescent="0.25">
      <c r="A148" s="19" t="str">
        <f t="shared" si="4"/>
        <v/>
      </c>
      <c r="B148" s="20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s="13" customFormat="1" ht="51.95" customHeight="1" x14ac:dyDescent="0.25">
      <c r="A149" s="19" t="str">
        <f t="shared" si="4"/>
        <v/>
      </c>
      <c r="B149" s="20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s="13" customFormat="1" ht="51.95" customHeight="1" x14ac:dyDescent="0.25">
      <c r="A150" s="19" t="str">
        <f t="shared" si="4"/>
        <v/>
      </c>
      <c r="B150" s="20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s="13" customFormat="1" ht="51.95" customHeight="1" x14ac:dyDescent="0.25">
      <c r="A151" s="19" t="str">
        <f t="shared" si="4"/>
        <v/>
      </c>
      <c r="B151" s="20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s="13" customFormat="1" ht="51.95" customHeight="1" x14ac:dyDescent="0.25">
      <c r="A152" s="19" t="str">
        <f t="shared" si="4"/>
        <v/>
      </c>
      <c r="B152" s="20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s="13" customFormat="1" ht="51.95" customHeight="1" x14ac:dyDescent="0.25">
      <c r="A153" s="19" t="str">
        <f t="shared" si="4"/>
        <v/>
      </c>
      <c r="B153" s="20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s="13" customFormat="1" ht="51.95" customHeight="1" x14ac:dyDescent="0.25">
      <c r="A154" s="19" t="str">
        <f t="shared" si="4"/>
        <v/>
      </c>
      <c r="B154" s="20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s="13" customFormat="1" ht="51.95" customHeight="1" x14ac:dyDescent="0.25">
      <c r="A155" s="19" t="str">
        <f t="shared" si="4"/>
        <v/>
      </c>
      <c r="B155" s="20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s="13" customFormat="1" ht="51.95" customHeight="1" x14ac:dyDescent="0.25">
      <c r="A156" s="19" t="str">
        <f t="shared" si="4"/>
        <v/>
      </c>
      <c r="B156" s="20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s="13" customFormat="1" ht="51.95" customHeight="1" x14ac:dyDescent="0.25">
      <c r="A157" s="19" t="str">
        <f t="shared" si="4"/>
        <v/>
      </c>
      <c r="B157" s="20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s="13" customFormat="1" ht="51.95" customHeight="1" x14ac:dyDescent="0.25">
      <c r="A158" s="19" t="str">
        <f t="shared" si="4"/>
        <v/>
      </c>
      <c r="B158" s="20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s="13" customFormat="1" ht="51.95" customHeight="1" x14ac:dyDescent="0.25">
      <c r="A159" s="19" t="str">
        <f t="shared" si="4"/>
        <v/>
      </c>
      <c r="B159" s="20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s="13" customFormat="1" ht="51.95" customHeight="1" x14ac:dyDescent="0.25">
      <c r="A160" s="19" t="str">
        <f t="shared" si="4"/>
        <v/>
      </c>
      <c r="B160" s="20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s="13" customFormat="1" ht="51.95" customHeight="1" x14ac:dyDescent="0.25">
      <c r="A161" s="19" t="str">
        <f t="shared" si="4"/>
        <v/>
      </c>
      <c r="B161" s="20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s="13" customFormat="1" ht="51.95" customHeight="1" x14ac:dyDescent="0.25">
      <c r="A162" s="19" t="str">
        <f t="shared" si="4"/>
        <v/>
      </c>
      <c r="B162" s="20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s="13" customFormat="1" ht="51.95" customHeight="1" x14ac:dyDescent="0.25">
      <c r="A163" s="19" t="str">
        <f t="shared" si="4"/>
        <v/>
      </c>
      <c r="B163" s="20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s="13" customFormat="1" ht="51.95" customHeight="1" x14ac:dyDescent="0.25">
      <c r="A164" s="19" t="str">
        <f t="shared" si="4"/>
        <v/>
      </c>
      <c r="B164" s="20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s="13" customFormat="1" ht="51.95" customHeight="1" x14ac:dyDescent="0.25">
      <c r="A165" s="19" t="str">
        <f t="shared" ref="A165:A196" si="5">IF(B165="","","BUG-"&amp;TEXT(ROW()-4,"000"))</f>
        <v/>
      </c>
      <c r="B165" s="2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s="13" customFormat="1" ht="51.95" customHeight="1" x14ac:dyDescent="0.25">
      <c r="A166" s="19" t="str">
        <f t="shared" si="5"/>
        <v/>
      </c>
      <c r="B166" s="20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s="13" customFormat="1" ht="51.95" customHeight="1" x14ac:dyDescent="0.25">
      <c r="A167" s="19" t="str">
        <f t="shared" si="5"/>
        <v/>
      </c>
      <c r="B167" s="20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s="13" customFormat="1" ht="51.95" customHeight="1" x14ac:dyDescent="0.25">
      <c r="A168" s="19" t="str">
        <f t="shared" si="5"/>
        <v/>
      </c>
      <c r="B168" s="20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s="13" customFormat="1" ht="51.95" customHeight="1" x14ac:dyDescent="0.25">
      <c r="A169" s="19" t="str">
        <f t="shared" si="5"/>
        <v/>
      </c>
      <c r="B169" s="20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s="13" customFormat="1" ht="51.95" customHeight="1" x14ac:dyDescent="0.25">
      <c r="A170" s="19" t="str">
        <f t="shared" si="5"/>
        <v/>
      </c>
      <c r="B170" s="20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s="13" customFormat="1" ht="51.95" customHeight="1" x14ac:dyDescent="0.25">
      <c r="A171" s="19" t="str">
        <f t="shared" si="5"/>
        <v/>
      </c>
      <c r="B171" s="20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s="13" customFormat="1" ht="51.95" customHeight="1" x14ac:dyDescent="0.25">
      <c r="A172" s="19" t="str">
        <f t="shared" si="5"/>
        <v/>
      </c>
      <c r="B172" s="20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s="13" customFormat="1" ht="51.95" customHeight="1" x14ac:dyDescent="0.25">
      <c r="A173" s="19" t="str">
        <f t="shared" si="5"/>
        <v/>
      </c>
      <c r="B173" s="20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s="13" customFormat="1" ht="51.95" customHeight="1" x14ac:dyDescent="0.25">
      <c r="A174" s="19" t="str">
        <f t="shared" si="5"/>
        <v/>
      </c>
      <c r="B174" s="20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s="13" customFormat="1" ht="51.95" customHeight="1" x14ac:dyDescent="0.25">
      <c r="A175" s="19" t="str">
        <f t="shared" si="5"/>
        <v/>
      </c>
      <c r="B175" s="2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s="13" customFormat="1" ht="51.95" customHeight="1" x14ac:dyDescent="0.25">
      <c r="A176" s="19" t="str">
        <f t="shared" si="5"/>
        <v/>
      </c>
      <c r="B176" s="20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s="13" customFormat="1" ht="51.95" customHeight="1" x14ac:dyDescent="0.25">
      <c r="A177" s="19" t="str">
        <f t="shared" si="5"/>
        <v/>
      </c>
      <c r="B177" s="20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s="13" customFormat="1" ht="51.95" customHeight="1" x14ac:dyDescent="0.25">
      <c r="A178" s="19" t="str">
        <f t="shared" si="5"/>
        <v/>
      </c>
      <c r="B178" s="20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s="13" customFormat="1" ht="51.95" customHeight="1" x14ac:dyDescent="0.25">
      <c r="A179" s="19" t="str">
        <f t="shared" si="5"/>
        <v/>
      </c>
      <c r="B179" s="20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s="13" customFormat="1" ht="51.95" customHeight="1" x14ac:dyDescent="0.25">
      <c r="A180" s="19" t="str">
        <f t="shared" si="5"/>
        <v/>
      </c>
      <c r="B180" s="20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s="13" customFormat="1" ht="51.95" customHeight="1" x14ac:dyDescent="0.25">
      <c r="A181" s="19" t="str">
        <f t="shared" si="5"/>
        <v/>
      </c>
      <c r="B181" s="20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s="13" customFormat="1" ht="51.95" customHeight="1" x14ac:dyDescent="0.25">
      <c r="A182" s="19" t="str">
        <f t="shared" si="5"/>
        <v/>
      </c>
      <c r="B182" s="2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s="13" customFormat="1" ht="51.95" customHeight="1" x14ac:dyDescent="0.25">
      <c r="A183" s="19" t="str">
        <f t="shared" si="5"/>
        <v/>
      </c>
      <c r="B183" s="20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s="13" customFormat="1" ht="51.95" customHeight="1" x14ac:dyDescent="0.25">
      <c r="A184" s="19" t="str">
        <f t="shared" si="5"/>
        <v/>
      </c>
      <c r="B184" s="20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s="13" customFormat="1" ht="51.95" customHeight="1" x14ac:dyDescent="0.25">
      <c r="A185" s="19" t="str">
        <f t="shared" si="5"/>
        <v/>
      </c>
      <c r="B185" s="20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s="13" customFormat="1" ht="51.95" customHeight="1" x14ac:dyDescent="0.25">
      <c r="A186" s="19" t="str">
        <f t="shared" si="5"/>
        <v/>
      </c>
      <c r="B186" s="20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s="13" customFormat="1" ht="51.95" customHeight="1" x14ac:dyDescent="0.25">
      <c r="A187" s="19" t="str">
        <f t="shared" si="5"/>
        <v/>
      </c>
      <c r="B187" s="20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1:15" s="13" customFormat="1" ht="51.95" customHeight="1" x14ac:dyDescent="0.25">
      <c r="A188" s="19" t="str">
        <f t="shared" si="5"/>
        <v/>
      </c>
      <c r="B188" s="20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spans="1:15" s="13" customFormat="1" ht="51.95" customHeight="1" x14ac:dyDescent="0.25">
      <c r="A189" s="19" t="str">
        <f t="shared" si="5"/>
        <v/>
      </c>
      <c r="B189" s="20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spans="1:15" s="13" customFormat="1" ht="51.95" customHeight="1" x14ac:dyDescent="0.25">
      <c r="A190" s="19" t="str">
        <f t="shared" si="5"/>
        <v/>
      </c>
      <c r="B190" s="20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spans="1:15" s="13" customFormat="1" ht="51.95" customHeight="1" x14ac:dyDescent="0.25">
      <c r="A191" s="19" t="str">
        <f t="shared" si="5"/>
        <v/>
      </c>
      <c r="B191" s="20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1:15" s="13" customFormat="1" ht="51.95" customHeight="1" x14ac:dyDescent="0.25">
      <c r="A192" s="19" t="str">
        <f t="shared" si="5"/>
        <v/>
      </c>
      <c r="B192" s="20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1:15" s="13" customFormat="1" ht="51.95" customHeight="1" x14ac:dyDescent="0.25">
      <c r="A193" s="19" t="str">
        <f t="shared" si="5"/>
        <v/>
      </c>
      <c r="B193" s="20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1:15" s="13" customFormat="1" ht="51.95" customHeight="1" x14ac:dyDescent="0.25">
      <c r="A194" s="19" t="str">
        <f t="shared" si="5"/>
        <v/>
      </c>
      <c r="B194" s="20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1:15" s="13" customFormat="1" ht="51.95" customHeight="1" x14ac:dyDescent="0.25">
      <c r="A195" s="19" t="str">
        <f t="shared" si="5"/>
        <v/>
      </c>
      <c r="B195" s="20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1:15" s="13" customFormat="1" ht="51.95" customHeight="1" x14ac:dyDescent="0.25">
      <c r="A196" s="19" t="str">
        <f t="shared" si="5"/>
        <v/>
      </c>
      <c r="B196" s="20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spans="1:15" s="13" customFormat="1" ht="51.95" customHeight="1" x14ac:dyDescent="0.25">
      <c r="A197" s="19" t="str">
        <f t="shared" ref="A197:A228" si="6">IF(B197="","","BUG-"&amp;TEXT(ROW()-4,"000"))</f>
        <v/>
      </c>
      <c r="B197" s="20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spans="1:15" s="13" customFormat="1" ht="51.95" customHeight="1" x14ac:dyDescent="0.25">
      <c r="A198" s="19" t="str">
        <f t="shared" si="6"/>
        <v/>
      </c>
      <c r="B198" s="20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1:15" s="13" customFormat="1" ht="51.95" customHeight="1" x14ac:dyDescent="0.25">
      <c r="A199" s="19" t="str">
        <f t="shared" si="6"/>
        <v/>
      </c>
      <c r="B199" s="20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spans="1:15" s="13" customFormat="1" ht="51.95" customHeight="1" x14ac:dyDescent="0.25">
      <c r="A200" s="19" t="str">
        <f t="shared" si="6"/>
        <v/>
      </c>
      <c r="B200" s="20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1:15" s="13" customFormat="1" ht="51.95" customHeight="1" x14ac:dyDescent="0.25">
      <c r="A201" s="19" t="str">
        <f t="shared" si="6"/>
        <v/>
      </c>
      <c r="B201" s="20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1:15" s="13" customFormat="1" ht="51.95" customHeight="1" x14ac:dyDescent="0.25">
      <c r="A202" s="19" t="str">
        <f t="shared" si="6"/>
        <v/>
      </c>
      <c r="B202" s="20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1:15" s="13" customFormat="1" ht="51.95" customHeight="1" x14ac:dyDescent="0.25">
      <c r="A203" s="19" t="str">
        <f t="shared" si="6"/>
        <v/>
      </c>
      <c r="B203" s="20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</sheetData>
  <autoFilter ref="A3:O203" xr:uid="{00000000-0009-0000-0000-000000000000}"/>
  <mergeCells count="1">
    <mergeCell ref="A1:O1"/>
  </mergeCells>
  <phoneticPr fontId="8" type="noConversion"/>
  <conditionalFormatting sqref="K4:K203">
    <cfRule type="expression" dxfId="6" priority="1">
      <formula>$K4="Critical"</formula>
    </cfRule>
    <cfRule type="expression" dxfId="5" priority="2">
      <formula>$K4="High"</formula>
    </cfRule>
    <cfRule type="expression" dxfId="4" priority="3">
      <formula>$K4="Medium"</formula>
    </cfRule>
    <cfRule type="expression" dxfId="3" priority="4">
      <formula>$K4="Low"</formula>
    </cfRule>
  </conditionalFormatting>
  <conditionalFormatting sqref="M4:M203">
    <cfRule type="expression" dxfId="2" priority="5">
      <formula>$M4="Closed"</formula>
    </cfRule>
    <cfRule type="expression" dxfId="1" priority="6">
      <formula>$M4="Blocked"</formula>
    </cfRule>
    <cfRule type="expression" dxfId="0" priority="7">
      <formula>$M4="Ready for Retest"</formula>
    </cfRule>
  </conditionalFormatting>
  <dataValidations count="3">
    <dataValidation type="list" allowBlank="1" sqref="K4:K203" xr:uid="{00000000-0002-0000-0000-000000000000}">
      <formula1>"Critical,High,Medium,Low"</formula1>
    </dataValidation>
    <dataValidation type="list" allowBlank="1" sqref="L4:L203" xr:uid="{00000000-0002-0000-0000-000001000000}">
      <formula1>"Urgent,High,Medium,Low"</formula1>
    </dataValidation>
    <dataValidation type="list" allowBlank="1" sqref="M4:M203" xr:uid="{00000000-0002-0000-0000-000002000000}">
      <formula1>"Open,In Progress,Blocked,Ready for Retest,Closed,Won't Fix"</formula1>
    </dataValidation>
  </dataValidations>
  <hyperlinks>
    <hyperlink ref="D5" r:id="rId1" xr:uid="{04979248-F6CB-4A7E-B241-487325B36F25}"/>
    <hyperlink ref="D6" r:id="rId2" xr:uid="{FB449B09-2E5C-448B-A1DE-B027637EFB21}"/>
    <hyperlink ref="D7" r:id="rId3" xr:uid="{96BDA287-71B0-40E8-A62B-3AAB9635C55F}"/>
    <hyperlink ref="O5" r:id="rId4" xr:uid="{C774CAA9-BAEE-4204-9756-EE936F96F779}"/>
    <hyperlink ref="O7" r:id="rId5" xr:uid="{0F4BC9B3-3689-44FC-82BA-CC056B1A2D7F}"/>
    <hyperlink ref="D8" r:id="rId6" xr:uid="{4C83B6AD-41F9-4404-909D-F39027DEDE20}"/>
    <hyperlink ref="O8" r:id="rId7" xr:uid="{CAD01366-058A-4B22-8133-02ABF180CC03}"/>
    <hyperlink ref="D9" r:id="rId8" xr:uid="{5828C5CA-44D2-43E3-8EDE-48BA7F840D9C}"/>
    <hyperlink ref="O9" r:id="rId9" xr:uid="{18E2ABAA-9839-4626-91D6-11302245E85F}"/>
    <hyperlink ref="D10" r:id="rId10" xr:uid="{C3C93F5A-4614-46B2-A734-08F34472E932}"/>
    <hyperlink ref="O10" r:id="rId11" xr:uid="{FB1FA84F-46D6-4FAE-A0EA-57D838DCCB18}"/>
    <hyperlink ref="D11" r:id="rId12" xr:uid="{67113501-3992-41B6-BE53-E44A18D4D5DE}"/>
    <hyperlink ref="O11" r:id="rId13" xr:uid="{0086095B-4351-4972-8E3D-FF9508DCD350}"/>
    <hyperlink ref="D12" r:id="rId14" xr:uid="{048A5FFE-957B-46B5-B893-6EADB1EBB736}"/>
    <hyperlink ref="D13" r:id="rId15" xr:uid="{9C118DC0-6659-46B9-82F7-91343DBBE52B}"/>
    <hyperlink ref="D14" r:id="rId16" xr:uid="{380CA256-DBE1-441E-AA33-F2D72218942A}"/>
    <hyperlink ref="D15" r:id="rId17" xr:uid="{04D89790-DC81-4CEE-8836-726D26B967F2}"/>
    <hyperlink ref="D16" r:id="rId18" xr:uid="{FB5289C8-D66A-4B43-AE80-B9FA30D1935B}"/>
    <hyperlink ref="D17" r:id="rId19" xr:uid="{FF8F9746-C4B9-4D28-AD47-CF00464442F6}"/>
    <hyperlink ref="D18" r:id="rId20" xr:uid="{D8407F47-DFCC-44E6-BBDE-7F7342D1E432}"/>
    <hyperlink ref="O15" r:id="rId21" xr:uid="{75C5A022-37C1-45D1-A2AB-0EF39DEDB2D2}"/>
    <hyperlink ref="O16" r:id="rId22" xr:uid="{188C3ED7-DE61-41D9-AB7F-47124F83BB6F}"/>
    <hyperlink ref="O17" r:id="rId23" xr:uid="{3E311467-DE0F-402E-99F0-88F76AFE131A}"/>
    <hyperlink ref="O18" r:id="rId24" xr:uid="{BD3E3E7A-70A2-4A6A-B16A-434AF9987261}"/>
    <hyperlink ref="D19" r:id="rId25" xr:uid="{CA79EEF2-2446-4270-B6E8-871C47FD42DB}"/>
    <hyperlink ref="O19" r:id="rId26" xr:uid="{2CDA2C18-BC9B-4E40-B56A-3D3E1D7FE101}"/>
    <hyperlink ref="D20" r:id="rId27" xr:uid="{676EA865-52BD-4F33-9DAA-A6B2DAB5575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selection activeCell="L25" sqref="L25"/>
    </sheetView>
  </sheetViews>
  <sheetFormatPr defaultRowHeight="15" x14ac:dyDescent="0.25"/>
  <cols>
    <col min="1" max="1" width="22" customWidth="1"/>
    <col min="2" max="2" width="14" customWidth="1"/>
    <col min="4" max="4" width="18" customWidth="1"/>
    <col min="5" max="5" width="12" customWidth="1"/>
  </cols>
  <sheetData>
    <row r="1" spans="1:8" ht="30" customHeight="1" x14ac:dyDescent="0.35">
      <c r="A1" s="8" t="s">
        <v>28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29</v>
      </c>
      <c r="B3" s="2">
        <f>COUNTIF('Bug Report'!B4:B203,"&lt;&gt;")</f>
        <v>17</v>
      </c>
      <c r="D3" s="3" t="s">
        <v>11</v>
      </c>
      <c r="E3" s="3" t="s">
        <v>30</v>
      </c>
    </row>
    <row r="4" spans="1:8" x14ac:dyDescent="0.25">
      <c r="A4" s="1" t="s">
        <v>26</v>
      </c>
      <c r="B4" s="4">
        <f>COUNTIF('Bug Report'!M4:M203,"Open")</f>
        <v>17</v>
      </c>
      <c r="D4" t="s">
        <v>31</v>
      </c>
      <c r="E4">
        <f>COUNTIF('Bug Report'!K4:K203,D4)</f>
        <v>2</v>
      </c>
    </row>
    <row r="5" spans="1:8" x14ac:dyDescent="0.25">
      <c r="A5" s="1" t="s">
        <v>32</v>
      </c>
      <c r="B5" s="4">
        <f>COUNTIF('Bug Report'!M4:M203,"In Progress")</f>
        <v>0</v>
      </c>
      <c r="D5" t="s">
        <v>25</v>
      </c>
      <c r="E5">
        <f>COUNTIF('Bug Report'!K4:K203,D5)</f>
        <v>4</v>
      </c>
    </row>
    <row r="6" spans="1:8" x14ac:dyDescent="0.25">
      <c r="A6" s="1" t="s">
        <v>33</v>
      </c>
      <c r="B6" s="4">
        <f>COUNTIF('Bug Report'!M4:M203,"Blocked")</f>
        <v>0</v>
      </c>
      <c r="D6" t="s">
        <v>34</v>
      </c>
      <c r="E6">
        <f>COUNTIF('Bug Report'!K4:K203,D6)</f>
        <v>4</v>
      </c>
    </row>
    <row r="7" spans="1:8" x14ac:dyDescent="0.25">
      <c r="A7" s="1" t="s">
        <v>35</v>
      </c>
      <c r="B7" s="4">
        <f>COUNTIF('Bug Report'!M4:M203,"Closed")</f>
        <v>0</v>
      </c>
      <c r="D7" t="s">
        <v>36</v>
      </c>
      <c r="E7">
        <f>COUNTIF('Bug Report'!K4:K203,D7)</f>
        <v>7</v>
      </c>
    </row>
    <row r="8" spans="1:8" x14ac:dyDescent="0.25">
      <c r="A8" s="1" t="s">
        <v>31</v>
      </c>
      <c r="B8" s="4">
        <f>COUNTIF('Bug Report'!K4:K203,"Critical")</f>
        <v>2</v>
      </c>
    </row>
    <row r="9" spans="1:8" x14ac:dyDescent="0.25">
      <c r="A9" s="1" t="s">
        <v>25</v>
      </c>
      <c r="B9" s="4">
        <f>COUNTIF('Bug Report'!K4:K203,"High")</f>
        <v>4</v>
      </c>
    </row>
    <row r="10" spans="1:8" x14ac:dyDescent="0.25">
      <c r="A10" s="1" t="s">
        <v>34</v>
      </c>
      <c r="B10" s="4">
        <f>COUNTIF('Bug Report'!K4:K203,"Medium")</f>
        <v>4</v>
      </c>
    </row>
    <row r="11" spans="1:8" x14ac:dyDescent="0.25">
      <c r="A11" s="1" t="s">
        <v>36</v>
      </c>
      <c r="B11" s="4">
        <f>COUNTIF('Bug Report'!K4:K203,"Low")</f>
        <v>7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zonda</cp:lastModifiedBy>
  <dcterms:created xsi:type="dcterms:W3CDTF">2026-08-09T12:32:56Z</dcterms:created>
  <dcterms:modified xsi:type="dcterms:W3CDTF">2026-08-09T16:28:49Z</dcterms:modified>
</cp:coreProperties>
</file>